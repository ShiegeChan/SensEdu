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041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SorokinVlady\Downloads\"/>
    </mc:Choice>
  </mc:AlternateContent>
  <xr:revisionPtr revIDLastSave="0" documentId="13_ncr:9_{85F36AF7-4935-4E13-8453-0B1BAD351DB4}" xr6:coauthVersionLast="36" xr6:coauthVersionMax="36" xr10:uidLastSave="{00000000-0000-0000-0000-000000000000}"/>
  <bookViews>
    <workbookView xWindow="0" yWindow="0" windowWidth="25560" windowHeight="11940" xr2:uid="{00000000-000D-0000-FFFF-FFFF00000000}"/>
  </bookViews>
  <sheets>
    <sheet name="Sheet1" sheetId="2" r:id="rId1"/>
  </sheets>
  <definedNames>
    <definedName name="ExternalData_1" localSheetId="0" hidden="1">Sheet1!$A$1:$E$35</definedName>
  </definedName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G36" i="2" l="1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</calcChain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00000000-0015-0000-FFFF-FFFF00000000}" keepAlive="1" name="Query - SensEdu" description="Connection to the 'SensEdu' query in the workbook." type="5" refreshedVersion="6" background="1" saveData="1">
    <dbPr connection="Provider=Microsoft.Mashup.OleDb.1;Data Source=$Workbook$;Location=SensEdu;Extended Properties=&quot;&quot;" command="SELECT * FROM [SensEdu]"/>
  </connection>
</connections>
</file>

<file path=xl/sharedStrings.xml><?xml version="1.0" encoding="utf-8"?>
<sst xmlns="http://purl.oclc.org/ooxml/spreadsheetml/main" count="224" uniqueCount="160">
  <si>
    <t>Reference</t>
  </si>
  <si>
    <t>Value</t>
  </si>
  <si>
    <t>Footprint</t>
  </si>
  <si>
    <t>Qty</t>
  </si>
  <si>
    <t>DNP</t>
  </si>
  <si>
    <t>C1,C2,C3,C4,C10,C11,C28,C29,C46,C47,C49,C52,C61,C62</t>
  </si>
  <si>
    <t>1u</t>
  </si>
  <si>
    <t>Capacitor_SMD:C_0603_1608Metric</t>
  </si>
  <si>
    <t/>
  </si>
  <si>
    <t>C5,C6</t>
  </si>
  <si>
    <t>4.7u</t>
  </si>
  <si>
    <t>Capacitor_SMD:C_0805_2012Metric</t>
  </si>
  <si>
    <t>C7,C9</t>
  </si>
  <si>
    <t>2.2u</t>
  </si>
  <si>
    <t>C8</t>
  </si>
  <si>
    <t>470n</t>
  </si>
  <si>
    <t>C12,C13,C20,C21,C30,C31,C32,C33,C48,C50,C51,C53,C56,C57,C58,C59,C60</t>
  </si>
  <si>
    <t>100n</t>
  </si>
  <si>
    <t>C14,C15,C22,C23,C34,C35,C36,C37</t>
  </si>
  <si>
    <t>470p</t>
  </si>
  <si>
    <t>C16,C17,C18,C19,C24,C25,C26,C27,C38,C39,C40,C41,C42,C43,C44,C45</t>
  </si>
  <si>
    <t>100p</t>
  </si>
  <si>
    <t>C54,C55,R34,R37</t>
  </si>
  <si>
    <t>DNI</t>
  </si>
  <si>
    <t>D1</t>
  </si>
  <si>
    <t>LED</t>
  </si>
  <si>
    <t>LED_SMD:LED_0805_2012Metric</t>
  </si>
  <si>
    <t>Connector_PinSocket_2.54mm:PinSocket_1x08_P2.54mm_Vertical</t>
  </si>
  <si>
    <t>J7</t>
  </si>
  <si>
    <t>Digital</t>
  </si>
  <si>
    <t>Connector_PinSocket_2.54mm:PinSocket_2x18_P2.54mm_Vertical</t>
  </si>
  <si>
    <t>J8,J9,J10,J11</t>
  </si>
  <si>
    <t>Conn_01x04_Pin</t>
  </si>
  <si>
    <t>Connector_PinSocket_2.54mm:PinSocket_1x04_P2.54mm_Vertical</t>
  </si>
  <si>
    <t>MK1,MK2,MK3,MK4</t>
  </si>
  <si>
    <t>IM73A135V01XTSA1</t>
  </si>
  <si>
    <t>SensEdu:MIC_IM73A135V01XTSA1</t>
  </si>
  <si>
    <t>R1,R3</t>
  </si>
  <si>
    <t>130k</t>
  </si>
  <si>
    <t>Resistor_SMD:R_0603_1608Metric</t>
  </si>
  <si>
    <t>R2,R4</t>
  </si>
  <si>
    <t>75k</t>
  </si>
  <si>
    <t>R5</t>
  </si>
  <si>
    <t>47</t>
  </si>
  <si>
    <t>R6,R7,R8,R9,R10,R11,R12,R13,R18,R19,R20,R21,R22,R23,R24,R25</t>
  </si>
  <si>
    <t>3.9k</t>
  </si>
  <si>
    <t>R14,R15,R16,R17,R26,R27,R28,R29</t>
  </si>
  <si>
    <t>1k</t>
  </si>
  <si>
    <t>R30,R39</t>
  </si>
  <si>
    <t>1.2k</t>
  </si>
  <si>
    <t>R31,R35</t>
  </si>
  <si>
    <t>0</t>
  </si>
  <si>
    <t>R32,R33,R36,R38</t>
  </si>
  <si>
    <t>22k</t>
  </si>
  <si>
    <t>R40,R41,R42,R43</t>
  </si>
  <si>
    <t>10k</t>
  </si>
  <si>
    <t>+2.5V</t>
  </si>
  <si>
    <t>TestPoint:TestPoint_THTPad_D2.0mm_Drill1.0mm</t>
  </si>
  <si>
    <t>TX2</t>
  </si>
  <si>
    <t>TX1,TX2</t>
  </si>
  <si>
    <t>328ST16M</t>
  </si>
  <si>
    <t>SensEdu:328ST16M_Speaker</t>
  </si>
  <si>
    <t>U1</t>
  </si>
  <si>
    <t>LDLN025M25R</t>
  </si>
  <si>
    <t>SamacSys_Parts:SOT95P280X145-5N</t>
  </si>
  <si>
    <t>U2</t>
  </si>
  <si>
    <t>LM27762DSST</t>
  </si>
  <si>
    <t>SensEdu:IC_LM27762DSST</t>
  </si>
  <si>
    <t>U3</t>
  </si>
  <si>
    <t>SHT35-DIS-B2.5KS</t>
  </si>
  <si>
    <t>SensEdu:SHT35-DIS-B2.5KS</t>
  </si>
  <si>
    <t>U4,U5,U6,U7</t>
  </si>
  <si>
    <t>AD8426ACPZ-R7</t>
  </si>
  <si>
    <t>SensEdu:QFN65P400X400X100-16N</t>
  </si>
  <si>
    <t>U8,U9</t>
  </si>
  <si>
    <t>NC7SB3157P6X</t>
  </si>
  <si>
    <t>SensEdu:SOT65P210X110-6N</t>
  </si>
  <si>
    <t>U10</t>
  </si>
  <si>
    <t>DPS368XTSA1</t>
  </si>
  <si>
    <t>SensEdu:DPS368XTSA1</t>
  </si>
  <si>
    <t>U11</t>
  </si>
  <si>
    <t>ADA4511-2ARMZ</t>
  </si>
  <si>
    <t>SamacSys_Parts:SOP65P490X110-8N</t>
  </si>
  <si>
    <t>U13</t>
  </si>
  <si>
    <t>TS3312AQPR</t>
  </si>
  <si>
    <t>SamacSys_Parts:TS3312AQPR</t>
  </si>
  <si>
    <t>Link</t>
  </si>
  <si>
    <t>https://www.mouser.de/ProductDetail/STMicroelectronics/TS3312AQPR?qs=1mbolxNpo8d3EIZUP0Dh4w%3D%3D</t>
  </si>
  <si>
    <t>https://www.mouser.de/ProductDetail/Analog-Devices/ADA4511-2ARMZ?qs=yc9RBI4tIAK9W%2FurDZsowQ%3D%3D</t>
  </si>
  <si>
    <t>https://www.mouser.de/ProductDetail/Infineon-Technologies/DPS368XTSA1?qs=l7cgNqFNU1issZx9oeCNag%3D%3D</t>
  </si>
  <si>
    <t>https://www.mouser.de/ProductDetail/onsemi/NC7SB3157P6X?qs=NkuxCoaTQKbAzrDSUBgHhA%3D%3D</t>
  </si>
  <si>
    <t>Price (per 10xQty)</t>
  </si>
  <si>
    <t>https://www.mouser.de/ProductDetail/Analog-Devices/AD8426ACPZ-R7?qs=%2FtpEQrCGXCy0%2F9Zrxy%252BnYw%3D%3D</t>
  </si>
  <si>
    <t>https://www.mouser.de/ProductDetail/Sensirion/SHT35-DIS-B2.5kS?qs=y6ZabgHbY%252BxyJLNSvkWFsA%3D%3D</t>
  </si>
  <si>
    <t>https://www.mouser.de/ProductDetail/Texas-Instruments/LM27762DSST?qs=vcbl%252BK4rRlcgKmrBHASI8g%3D%3D</t>
  </si>
  <si>
    <t>https://www.mouser.de/ProductDetail/STMicroelectronics/LDLN025M25R?qs=5aG0NVq1C4wSHhiEnEzM%2Fg%3D%3D</t>
  </si>
  <si>
    <t>https://www.mouser.de/ProductDetail/Pro-Wave-Electronics/328ST16M?qs=gTYE2QTfZfQM3XaGKNA7nw%3D%3D</t>
  </si>
  <si>
    <t>https://www.mouser.de/ProductDetail/Keystone-Electronics/5000?qs=q0tsjPZWdm%252B9SiiTAbEwUw%3D%3D</t>
  </si>
  <si>
    <t>https://www.mouser.de/ProductDetail/Keystone-Electronics/5001?qs=q0tsjPZWdm%2FW0vdr%2FwowKg%3D%3D</t>
  </si>
  <si>
    <t>https://www.mouser.de/ProductDetail/Samtec/SSW-104-01-G-S?qs=92ilVni64gwX57oPv1Qypw%3D%3D</t>
  </si>
  <si>
    <t>Connector_PinSocket_2.54mm:PinSocket_1x10_P2.54mm_Vertical</t>
  </si>
  <si>
    <t>https://www.mouser.de/ProductDetail/Samtec/SSQ-108-03-G-S?qs=92ilVni64gxESeLoQPf0Dw%3D%3D</t>
  </si>
  <si>
    <t>https://www.mouser.de/ProductDetail/Samtec/SSQ-110-03-G-S?qs=0u6pJ%2FESxi2TyhdgZpByhg%3D%3D</t>
  </si>
  <si>
    <t>https://www.mouser.de/ProductDetail/Dialight/598-8170-107F?qs=7JStj%2FjQ2SEAJGswzKZPeg%3D%3D</t>
  </si>
  <si>
    <t>https://www.mouser.de/ProductDetail/Panasonic/ERA-3APB753V?qs=sGAEpiMZZMtlubZbdhIBIJiMSTY83nT4BTj01APdFCo%3D</t>
  </si>
  <si>
    <t>https://www.mouser.de/ProductDetail/Panasonic/ERA-3AED134V?qs=sGAEpiMZZMtlubZbdhIBINE5Vwz7C5t%2FFe8GULga7Pk%3D</t>
  </si>
  <si>
    <t>https://www.mouser.de/ProductDetail/Panasonic/ERA-3AEB470V?qs=sGAEpiMZZMtlubZbdhIBINKPHGpBD%2FvfhZ65usvg1NE%3D</t>
  </si>
  <si>
    <t>https://www.mouser.de/ProductDetail/Panasonic/ERA-3AEB392V?qs=sGAEpiMZZMtlubZbdhIBIPpxc3aYtFQfw6EPxhWaWEc%3D</t>
  </si>
  <si>
    <t>Part Number</t>
  </si>
  <si>
    <t>Note</t>
  </si>
  <si>
    <t>https://www.mouser.de/ProductDetail/Panasonic/ERA-3AEB102V?qs=sGAEpiMZZMtlubZbdhIBINKPHGpBD%2FvfpxskKA3Q8wQ%3D</t>
  </si>
  <si>
    <t>ERA-3AEB102V</t>
  </si>
  <si>
    <t>SHT35-DIS-B2.5kS</t>
  </si>
  <si>
    <t>ERA-3AEB392V</t>
  </si>
  <si>
    <t>ERA-3AEB470V</t>
  </si>
  <si>
    <t>0.1%; 100mW; 25ppm</t>
  </si>
  <si>
    <t>ERA-3AED134V</t>
  </si>
  <si>
    <t>ERA-3APB753V</t>
  </si>
  <si>
    <t>0.5%; 100mW; 25ppm</t>
  </si>
  <si>
    <t>0.1%; 100mW; 15ppm</t>
  </si>
  <si>
    <t>CRCW06030000Z0ECHP</t>
  </si>
  <si>
    <t>330mW</t>
  </si>
  <si>
    <t>https://www.mouser.de/ProductDetail/Vishay/CRCW06030000Z0ECHP?qs=u4fy%2FsgLU9Pkqa4tlHoqGg%3D%3D</t>
  </si>
  <si>
    <t>ERJ-PB3B1201V</t>
  </si>
  <si>
    <t>0.1%; 200mW; 50ppm</t>
  </si>
  <si>
    <t>https://www.mouser.de/ProductDetail/Panasonic/ERJ-PB3B1201V?qs=RYIBGgAklzKv2qEbK91Mig%3D%3D</t>
  </si>
  <si>
    <t>https://www.mouser.de/ProductDetail/Panasonic/ERJ-PB3B2202V?qs=RYIBGgAklzKQbmWsiWLONA%3D%3D</t>
  </si>
  <si>
    <t>ERJ-PB3B2202V</t>
  </si>
  <si>
    <t>ERJ-PB3B1002V</t>
  </si>
  <si>
    <t>https://www.mouser.de/ProductDetail/Panasonic/ERJ-PB3B1002V?qs=RYIBGgAklzLBKZE0dH9NHQ%3D%3D</t>
  </si>
  <si>
    <t>SSW-104-01-G-S</t>
  </si>
  <si>
    <t>SSQ-108-03-G-S</t>
  </si>
  <si>
    <t>SSQ-110-03-G-S</t>
  </si>
  <si>
    <t>598-8170-107F</t>
  </si>
  <si>
    <t>1%; C0G</t>
  </si>
  <si>
    <t>2%; C0G</t>
  </si>
  <si>
    <t>GQM1875C2E101FB12D</t>
  </si>
  <si>
    <t>https://www.mouser.de/ProductDetail/Murata-Electronics/GQM1875C2E101FB12D?qs=5aG0NVq1C4xaBfxwcpvDIQ%3D%3D</t>
  </si>
  <si>
    <t>GCM1885C2A471FA16D</t>
  </si>
  <si>
    <t>https://www.mouser.de/ProductDetail/Murata-Electronics/GCM1885C2A471FA16D?qs=QzBtWTOodeWgqjEsX2PjAg%3D%3D</t>
  </si>
  <si>
    <t>5%; X7R</t>
  </si>
  <si>
    <t>CL10B104JB8NNNC</t>
  </si>
  <si>
    <t>https://www.mouser.de/ProductDetail/Samsung-Electro-Mechanics/CL10B104JB8NNNC?qs=349EhDEZ59oLEw5wc1qvGw%3D%3D</t>
  </si>
  <si>
    <t>GRM188R71A474JA61J</t>
  </si>
  <si>
    <t>https://www.mouser.de/ProductDetail/Murata-Electronics/GRM188R71A474JA61J?qs=QzBtWTOodeWXuS9g9090Nw%3D%3D</t>
  </si>
  <si>
    <t>GCJ188R71E105KA01D</t>
  </si>
  <si>
    <t>10%; X7R</t>
  </si>
  <si>
    <t>https://www.mouser.de/ProductDetail/Murata-Electronics/GCJ188R71E105KA01D?qs=rnuWwpjhhVuRpUqK416FbQ%3D%3D</t>
  </si>
  <si>
    <t>CL21B225KAFNNNG</t>
  </si>
  <si>
    <t>https://www.mouser.de/ProductDetail/Samsung-Electro-Mechanics/CL21B225KAFNNNG?qs=yOVawPpwOwljM4cRphaUPg%3D%3D</t>
  </si>
  <si>
    <t>GCJ21BR71C475KA01L</t>
  </si>
  <si>
    <t>https://www.mouser.de/ProductDetail/Murata-Electronics/GCJ21BR71C475KA01L?qs=AEetWsPH0ItHFBxw0%252BVnvA%3D%3D</t>
  </si>
  <si>
    <t>Total Price</t>
  </si>
  <si>
    <t>1x8 Housings</t>
  </si>
  <si>
    <t>1x10 Housings</t>
  </si>
  <si>
    <t>TP1, TP2, TP3, TP4</t>
  </si>
  <si>
    <t>TP5, TP6</t>
  </si>
  <si>
    <t>https://mou.sr/4aXaWrH</t>
  </si>
  <si>
    <t>J2</t>
  </si>
  <si>
    <t>J1,J3,J4, J5,J6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</si>
</sst>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30" formatCode="@"/>
    </dxf>
    <dxf>
      <numFmt numFmtId="164" formatCode="&quot;€&quot;\ #,##0.00"/>
    </dxf>
    <dxf>
      <numFmt numFmtId="164" formatCode="&quot;€&quot;\ #,##0.00"/>
    </dxf>
    <dxf>
      <numFmt numFmtId="30" formatCode="@"/>
    </dxf>
    <dxf>
      <numFmt numFmtId="164" formatCode="&quot;€&quot;\ #,##0.00"/>
    </dxf>
    <dxf>
      <numFmt numFmtId="164" formatCode="&quot;€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connections" Target="connections.xml"/><Relationship Id="rId7" Type="http://purl.oclc.org/ooxml/officeDocument/relationships/customXml" Target="../customXml/item1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3" unboundColumnsRight="5">
    <queryTableFields count="10">
      <queryTableField id="1" name="Reference" tableColumnId="1"/>
      <queryTableField id="2" name="Value" tableColumnId="2"/>
      <queryTableField id="3" name="Footprint" tableColumnId="3"/>
      <queryTableField id="4" name="Qty" tableColumnId="4"/>
      <queryTableField id="5" name="DNP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2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ensEdu" displayName="SensEdu" ref="A1:J36" tableType="queryTable" totalsRowCount="1">
  <autoFilter ref="A1:J35" xr:uid="{00000000-0009-0000-0100-000001000000}"/>
  <tableColumns count="10">
    <tableColumn id="1" xr3:uid="{00000000-0010-0000-0000-000001000000}" uniqueName="1" name="Reference" queryTableFieldId="1"/>
    <tableColumn id="2" xr3:uid="{00000000-0010-0000-0000-000002000000}" uniqueName="2" name="Value" queryTableFieldId="2"/>
    <tableColumn id="3" xr3:uid="{00000000-0010-0000-0000-000003000000}" uniqueName="3" name="Footprint" queryTableFieldId="3"/>
    <tableColumn id="4" xr3:uid="{00000000-0010-0000-0000-000004000000}" uniqueName="4" name="Qty" queryTableFieldId="4"/>
    <tableColumn id="5" xr3:uid="{00000000-0010-0000-0000-000005000000}" uniqueName="5" name="DNP" queryTableFieldId="5"/>
    <tableColumn id="6" xr3:uid="{00000000-0010-0000-0000-000006000000}" uniqueName="6" name="Price (per 10xQty)" queryTableFieldId="6" dataDxfId="5" totalsRowDxfId="2"/>
    <tableColumn id="7" xr3:uid="{00000000-0010-0000-0000-000007000000}" uniqueName="7" name="Total Price" totalsRowFunction="custom" queryTableFieldId="7" dataDxfId="4" totalsRowDxfId="1">
      <calculatedColumnFormula>SensEdu[[#This Row],[Price (per 10xQty)]]*SensEdu[[#This Row],[Qty]]</calculatedColumnFormula>
      <totalsRowFormula>SUM(G2:G35)</totalsRowFormula>
    </tableColumn>
    <tableColumn id="8" xr3:uid="{00000000-0010-0000-0000-000008000000}" uniqueName="8" name="Part Number" queryTableFieldId="8" dataDxfId="3" totalsRowDxfId="0"/>
    <tableColumn id="9" xr3:uid="{00000000-0010-0000-0000-000009000000}" uniqueName="9" name="Note" queryTableFieldId="9"/>
    <tableColumn id="11" xr3:uid="{00000000-0010-0000-0000-00000B000000}" uniqueName="11" name="Link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table" Target="../tables/table1.xml"/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zoomScaleNormal="100" workbookViewId="0">
      <selection activeCell="J14" sqref="J14"/>
    </sheetView>
  </sheetViews>
  <sheetFormatPr defaultRowHeight="15" x14ac:dyDescent="0.25"/>
  <cols>
    <col min="1" max="1" width="62" customWidth="1"/>
    <col min="2" max="2" width="18.5703125" bestFit="1" customWidth="1"/>
    <col min="3" max="3" width="60.28515625" customWidth="1"/>
    <col min="4" max="4" width="8.5703125" customWidth="1"/>
    <col min="5" max="5" width="7.140625" bestFit="1" customWidth="1"/>
    <col min="6" max="6" width="19.28515625" customWidth="1"/>
    <col min="7" max="7" width="22.5703125" style="1" customWidth="1"/>
    <col min="8" max="8" width="21.42578125" customWidth="1"/>
    <col min="9" max="9" width="19.7109375" customWidth="1"/>
    <col min="10" max="10" width="118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</v>
      </c>
      <c r="G1" s="1" t="s">
        <v>152</v>
      </c>
      <c r="H1" s="2" t="s">
        <v>108</v>
      </c>
      <c r="I1" t="s">
        <v>109</v>
      </c>
      <c r="J1" t="s">
        <v>86</v>
      </c>
    </row>
    <row r="2" spans="1:10" x14ac:dyDescent="0.25">
      <c r="A2" t="s">
        <v>5</v>
      </c>
      <c r="B2" t="s">
        <v>6</v>
      </c>
      <c r="C2" t="s">
        <v>7</v>
      </c>
      <c r="D2">
        <v>14</v>
      </c>
      <c r="E2" t="s">
        <v>8</v>
      </c>
      <c r="F2" s="1">
        <v>6.5000000000000002E-2</v>
      </c>
      <c r="G2" s="1">
        <f>SensEdu[[#This Row],[Price (per 10xQty)]]*SensEdu[[#This Row],[Qty]]</f>
        <v>0.91</v>
      </c>
      <c r="H2" s="2" t="s">
        <v>145</v>
      </c>
      <c r="I2" t="s">
        <v>146</v>
      </c>
      <c r="J2" t="s">
        <v>147</v>
      </c>
    </row>
    <row r="3" spans="1:10" x14ac:dyDescent="0.25">
      <c r="A3" t="s">
        <v>9</v>
      </c>
      <c r="B3" t="s">
        <v>10</v>
      </c>
      <c r="C3" t="s">
        <v>11</v>
      </c>
      <c r="D3">
        <v>2</v>
      </c>
      <c r="E3" t="s">
        <v>8</v>
      </c>
      <c r="F3" s="1">
        <v>0.13300000000000001</v>
      </c>
      <c r="G3" s="1">
        <f>SensEdu[[#This Row],[Price (per 10xQty)]]*SensEdu[[#This Row],[Qty]]</f>
        <v>0.26600000000000001</v>
      </c>
      <c r="H3" s="2" t="s">
        <v>150</v>
      </c>
      <c r="I3" t="s">
        <v>146</v>
      </c>
      <c r="J3" t="s">
        <v>151</v>
      </c>
    </row>
    <row r="4" spans="1:10" x14ac:dyDescent="0.25">
      <c r="A4" t="s">
        <v>12</v>
      </c>
      <c r="B4" t="s">
        <v>13</v>
      </c>
      <c r="C4" t="s">
        <v>11</v>
      </c>
      <c r="D4">
        <v>2</v>
      </c>
      <c r="E4" t="s">
        <v>8</v>
      </c>
      <c r="F4" s="1">
        <v>0.04</v>
      </c>
      <c r="G4" s="1">
        <f>SensEdu[[#This Row],[Price (per 10xQty)]]*SensEdu[[#This Row],[Qty]]</f>
        <v>0.08</v>
      </c>
      <c r="H4" s="2" t="s">
        <v>148</v>
      </c>
      <c r="I4" t="s">
        <v>146</v>
      </c>
      <c r="J4" t="s">
        <v>149</v>
      </c>
    </row>
    <row r="5" spans="1:10" x14ac:dyDescent="0.25">
      <c r="A5" t="s">
        <v>14</v>
      </c>
      <c r="B5" t="s">
        <v>15</v>
      </c>
      <c r="C5" t="s">
        <v>7</v>
      </c>
      <c r="D5">
        <v>1</v>
      </c>
      <c r="E5" t="s">
        <v>8</v>
      </c>
      <c r="F5" s="1">
        <v>5.1999999999999998E-2</v>
      </c>
      <c r="G5" s="1">
        <f>SensEdu[[#This Row],[Price (per 10xQty)]]*SensEdu[[#This Row],[Qty]]</f>
        <v>5.1999999999999998E-2</v>
      </c>
      <c r="H5" s="2" t="s">
        <v>143</v>
      </c>
      <c r="I5" t="s">
        <v>140</v>
      </c>
      <c r="J5" t="s">
        <v>144</v>
      </c>
    </row>
    <row r="6" spans="1:10" x14ac:dyDescent="0.25">
      <c r="A6" t="s">
        <v>16</v>
      </c>
      <c r="B6" t="s">
        <v>17</v>
      </c>
      <c r="C6" t="s">
        <v>7</v>
      </c>
      <c r="D6">
        <v>17</v>
      </c>
      <c r="E6" t="s">
        <v>8</v>
      </c>
      <c r="F6" s="1">
        <v>5.0000000000000001E-3</v>
      </c>
      <c r="G6" s="1">
        <f>SensEdu[[#This Row],[Price (per 10xQty)]]*SensEdu[[#This Row],[Qty]]</f>
        <v>8.5000000000000006E-2</v>
      </c>
      <c r="H6" s="2" t="s">
        <v>141</v>
      </c>
      <c r="I6" t="s">
        <v>140</v>
      </c>
      <c r="J6" s="3" t="s">
        <v>142</v>
      </c>
    </row>
    <row r="7" spans="1:10" x14ac:dyDescent="0.25">
      <c r="A7" t="s">
        <v>18</v>
      </c>
      <c r="B7" t="s">
        <v>19</v>
      </c>
      <c r="C7" t="s">
        <v>7</v>
      </c>
      <c r="D7">
        <v>8</v>
      </c>
      <c r="E7" t="s">
        <v>8</v>
      </c>
      <c r="F7" s="1">
        <v>8.3000000000000004E-2</v>
      </c>
      <c r="G7" s="1">
        <f>SensEdu[[#This Row],[Price (per 10xQty)]]*SensEdu[[#This Row],[Qty]]</f>
        <v>0.66400000000000003</v>
      </c>
      <c r="H7" s="2" t="s">
        <v>138</v>
      </c>
      <c r="I7" t="s">
        <v>134</v>
      </c>
      <c r="J7" t="s">
        <v>139</v>
      </c>
    </row>
    <row r="8" spans="1:10" x14ac:dyDescent="0.25">
      <c r="A8" t="s">
        <v>20</v>
      </c>
      <c r="B8" t="s">
        <v>21</v>
      </c>
      <c r="C8" t="s">
        <v>7</v>
      </c>
      <c r="D8">
        <v>16</v>
      </c>
      <c r="E8" t="s">
        <v>8</v>
      </c>
      <c r="F8" s="1">
        <v>4.1000000000000002E-2</v>
      </c>
      <c r="G8" s="1">
        <f>SensEdu[[#This Row],[Price (per 10xQty)]]*SensEdu[[#This Row],[Qty]]</f>
        <v>0.65600000000000003</v>
      </c>
      <c r="H8" s="2" t="s">
        <v>136</v>
      </c>
      <c r="I8" t="s">
        <v>135</v>
      </c>
      <c r="J8" t="s">
        <v>137</v>
      </c>
    </row>
    <row r="9" spans="1:10" x14ac:dyDescent="0.25">
      <c r="A9" t="s">
        <v>22</v>
      </c>
      <c r="B9" t="s">
        <v>23</v>
      </c>
      <c r="C9" t="s">
        <v>7</v>
      </c>
      <c r="D9">
        <v>4</v>
      </c>
      <c r="E9" t="s">
        <v>4</v>
      </c>
      <c r="F9" s="1"/>
      <c r="G9" s="1">
        <f>SensEdu[[#This Row],[Price (per 10xQty)]]*SensEdu[[#This Row],[Qty]]</f>
        <v>0</v>
      </c>
      <c r="H9" s="2"/>
    </row>
    <row r="10" spans="1:10" x14ac:dyDescent="0.25">
      <c r="A10" t="s">
        <v>24</v>
      </c>
      <c r="B10" t="s">
        <v>25</v>
      </c>
      <c r="C10" t="s">
        <v>26</v>
      </c>
      <c r="D10">
        <v>1</v>
      </c>
      <c r="E10" t="s">
        <v>8</v>
      </c>
      <c r="F10" s="1">
        <v>0.126</v>
      </c>
      <c r="G10" s="1">
        <f>SensEdu[[#This Row],[Price (per 10xQty)]]*SensEdu[[#This Row],[Qty]]</f>
        <v>0.126</v>
      </c>
      <c r="H10" s="2" t="s">
        <v>133</v>
      </c>
      <c r="J10" t="s">
        <v>103</v>
      </c>
    </row>
    <row r="11" spans="1:10" x14ac:dyDescent="0.25">
      <c r="A11" t="s">
        <v>159</v>
      </c>
      <c r="B11" t="s">
        <v>153</v>
      </c>
      <c r="C11" t="s">
        <v>27</v>
      </c>
      <c r="D11">
        <v>5</v>
      </c>
      <c r="E11" t="s">
        <v>8</v>
      </c>
      <c r="F11" s="1">
        <v>1.51</v>
      </c>
      <c r="G11" s="1">
        <f>SensEdu[[#This Row],[Price (per 10xQty)]]*SensEdu[[#This Row],[Qty]]</f>
        <v>7.55</v>
      </c>
      <c r="H11" s="2" t="s">
        <v>131</v>
      </c>
      <c r="J11" t="s">
        <v>101</v>
      </c>
    </row>
    <row r="12" spans="1:10" x14ac:dyDescent="0.25">
      <c r="A12" t="s">
        <v>158</v>
      </c>
      <c r="B12" t="s">
        <v>154</v>
      </c>
      <c r="C12" t="s">
        <v>100</v>
      </c>
      <c r="D12">
        <v>1</v>
      </c>
      <c r="E12" t="s">
        <v>8</v>
      </c>
      <c r="F12" s="1">
        <v>2.2799999999999998</v>
      </c>
      <c r="G12" s="1">
        <f>SensEdu[[#This Row],[Price (per 10xQty)]]*SensEdu[[#This Row],[Qty]]</f>
        <v>2.2799999999999998</v>
      </c>
      <c r="H12" s="2" t="s">
        <v>132</v>
      </c>
      <c r="J12" t="s">
        <v>102</v>
      </c>
    </row>
    <row r="13" spans="1:10" x14ac:dyDescent="0.25">
      <c r="A13" t="s">
        <v>28</v>
      </c>
      <c r="B13" t="s">
        <v>29</v>
      </c>
      <c r="C13" t="s">
        <v>30</v>
      </c>
      <c r="D13">
        <v>1</v>
      </c>
      <c r="E13" t="s">
        <v>4</v>
      </c>
      <c r="F13" s="1"/>
      <c r="G13" s="1">
        <f>SensEdu[[#This Row],[Price (per 10xQty)]]*SensEdu[[#This Row],[Qty]]</f>
        <v>0</v>
      </c>
      <c r="H13" s="2"/>
    </row>
    <row r="14" spans="1:10" x14ac:dyDescent="0.25">
      <c r="A14" t="s">
        <v>31</v>
      </c>
      <c r="B14" t="s">
        <v>32</v>
      </c>
      <c r="C14" t="s">
        <v>33</v>
      </c>
      <c r="D14">
        <v>4</v>
      </c>
      <c r="E14" t="s">
        <v>8</v>
      </c>
      <c r="F14" s="1">
        <v>1.1599999999999999</v>
      </c>
      <c r="G14" s="1">
        <f>SensEdu[[#This Row],[Price (per 10xQty)]]*SensEdu[[#This Row],[Qty]]</f>
        <v>4.6399999999999997</v>
      </c>
      <c r="H14" s="2" t="s">
        <v>130</v>
      </c>
      <c r="J14" t="s">
        <v>99</v>
      </c>
    </row>
    <row r="15" spans="1:10" x14ac:dyDescent="0.25">
      <c r="A15" t="s">
        <v>34</v>
      </c>
      <c r="B15" t="s">
        <v>35</v>
      </c>
      <c r="C15" t="s">
        <v>36</v>
      </c>
      <c r="D15">
        <v>4</v>
      </c>
      <c r="E15" t="s">
        <v>8</v>
      </c>
      <c r="F15" s="1">
        <v>1.41</v>
      </c>
      <c r="G15" s="1">
        <f>SensEdu[[#This Row],[Price (per 10xQty)]]*SensEdu[[#This Row],[Qty]]</f>
        <v>5.64</v>
      </c>
      <c r="H15" s="2" t="s">
        <v>35</v>
      </c>
      <c r="J15" t="s">
        <v>157</v>
      </c>
    </row>
    <row r="16" spans="1:10" x14ac:dyDescent="0.25">
      <c r="A16" t="s">
        <v>37</v>
      </c>
      <c r="B16" t="s">
        <v>38</v>
      </c>
      <c r="C16" t="s">
        <v>39</v>
      </c>
      <c r="D16">
        <v>2</v>
      </c>
      <c r="E16" t="s">
        <v>8</v>
      </c>
      <c r="F16" s="1">
        <v>3.9E-2</v>
      </c>
      <c r="G16" s="1">
        <f>SensEdu[[#This Row],[Price (per 10xQty)]]*SensEdu[[#This Row],[Qty]]</f>
        <v>7.8E-2</v>
      </c>
      <c r="H16" s="2" t="s">
        <v>116</v>
      </c>
      <c r="I16" t="s">
        <v>118</v>
      </c>
      <c r="J16" t="s">
        <v>105</v>
      </c>
    </row>
    <row r="17" spans="1:10" x14ac:dyDescent="0.25">
      <c r="A17" t="s">
        <v>40</v>
      </c>
      <c r="B17" t="s">
        <v>41</v>
      </c>
      <c r="C17" t="s">
        <v>39</v>
      </c>
      <c r="D17">
        <v>2</v>
      </c>
      <c r="E17" t="s">
        <v>8</v>
      </c>
      <c r="F17" s="1">
        <v>0.17599999999999999</v>
      </c>
      <c r="G17" s="1">
        <f>SensEdu[[#This Row],[Price (per 10xQty)]]*SensEdu[[#This Row],[Qty]]</f>
        <v>0.35199999999999998</v>
      </c>
      <c r="H17" s="2" t="s">
        <v>117</v>
      </c>
      <c r="I17" t="s">
        <v>119</v>
      </c>
      <c r="J17" t="s">
        <v>104</v>
      </c>
    </row>
    <row r="18" spans="1:10" x14ac:dyDescent="0.25">
      <c r="A18" t="s">
        <v>42</v>
      </c>
      <c r="B18" t="s">
        <v>43</v>
      </c>
      <c r="C18" t="s">
        <v>39</v>
      </c>
      <c r="D18">
        <v>1</v>
      </c>
      <c r="E18" t="s">
        <v>8</v>
      </c>
      <c r="F18" s="1">
        <v>4.5999999999999999E-2</v>
      </c>
      <c r="G18" s="1">
        <f>SensEdu[[#This Row],[Price (per 10xQty)]]*SensEdu[[#This Row],[Qty]]</f>
        <v>4.5999999999999999E-2</v>
      </c>
      <c r="H18" s="2" t="s">
        <v>114</v>
      </c>
      <c r="I18" t="s">
        <v>115</v>
      </c>
      <c r="J18" t="s">
        <v>106</v>
      </c>
    </row>
    <row r="19" spans="1:10" x14ac:dyDescent="0.25">
      <c r="A19" t="s">
        <v>44</v>
      </c>
      <c r="B19" t="s">
        <v>45</v>
      </c>
      <c r="C19" t="s">
        <v>39</v>
      </c>
      <c r="D19">
        <v>16</v>
      </c>
      <c r="E19" t="s">
        <v>8</v>
      </c>
      <c r="F19" s="1">
        <v>4.5999999999999999E-2</v>
      </c>
      <c r="G19" s="1">
        <f>SensEdu[[#This Row],[Price (per 10xQty)]]*SensEdu[[#This Row],[Qty]]</f>
        <v>0.73599999999999999</v>
      </c>
      <c r="H19" s="2" t="s">
        <v>113</v>
      </c>
      <c r="I19" t="s">
        <v>115</v>
      </c>
      <c r="J19" t="s">
        <v>107</v>
      </c>
    </row>
    <row r="20" spans="1:10" x14ac:dyDescent="0.25">
      <c r="A20" t="s">
        <v>46</v>
      </c>
      <c r="B20" t="s">
        <v>47</v>
      </c>
      <c r="C20" t="s">
        <v>39</v>
      </c>
      <c r="D20">
        <v>8</v>
      </c>
      <c r="E20" t="s">
        <v>8</v>
      </c>
      <c r="F20" s="1">
        <v>4.5999999999999999E-2</v>
      </c>
      <c r="G20" s="1">
        <f>SensEdu[[#This Row],[Price (per 10xQty)]]*SensEdu[[#This Row],[Qty]]</f>
        <v>0.36799999999999999</v>
      </c>
      <c r="H20" s="2" t="s">
        <v>111</v>
      </c>
      <c r="I20" t="s">
        <v>115</v>
      </c>
      <c r="J20" t="s">
        <v>110</v>
      </c>
    </row>
    <row r="21" spans="1:10" x14ac:dyDescent="0.25">
      <c r="A21" t="s">
        <v>48</v>
      </c>
      <c r="B21" t="s">
        <v>49</v>
      </c>
      <c r="C21" t="s">
        <v>39</v>
      </c>
      <c r="D21">
        <v>2</v>
      </c>
      <c r="E21" t="s">
        <v>8</v>
      </c>
      <c r="F21" s="1">
        <v>5.6000000000000001E-2</v>
      </c>
      <c r="G21" s="1">
        <f>SensEdu[[#This Row],[Price (per 10xQty)]]*SensEdu[[#This Row],[Qty]]</f>
        <v>0.112</v>
      </c>
      <c r="H21" s="2" t="s">
        <v>123</v>
      </c>
      <c r="I21" t="s">
        <v>124</v>
      </c>
      <c r="J21" t="s">
        <v>125</v>
      </c>
    </row>
    <row r="22" spans="1:10" x14ac:dyDescent="0.25">
      <c r="A22" t="s">
        <v>50</v>
      </c>
      <c r="B22" t="s">
        <v>51</v>
      </c>
      <c r="C22" t="s">
        <v>39</v>
      </c>
      <c r="D22">
        <v>2</v>
      </c>
      <c r="E22" t="s">
        <v>8</v>
      </c>
      <c r="F22" s="1">
        <v>4.2000000000000003E-2</v>
      </c>
      <c r="G22" s="1">
        <f>SensEdu[[#This Row],[Price (per 10xQty)]]*SensEdu[[#This Row],[Qty]]</f>
        <v>8.4000000000000005E-2</v>
      </c>
      <c r="H22" s="2" t="s">
        <v>120</v>
      </c>
      <c r="I22" t="s">
        <v>121</v>
      </c>
      <c r="J22" t="s">
        <v>122</v>
      </c>
    </row>
    <row r="23" spans="1:10" x14ac:dyDescent="0.25">
      <c r="A23" t="s">
        <v>52</v>
      </c>
      <c r="B23" t="s">
        <v>53</v>
      </c>
      <c r="C23" t="s">
        <v>39</v>
      </c>
      <c r="D23">
        <v>4</v>
      </c>
      <c r="E23" t="s">
        <v>8</v>
      </c>
      <c r="F23" s="1">
        <v>6.3E-2</v>
      </c>
      <c r="G23" s="1">
        <f>SensEdu[[#This Row],[Price (per 10xQty)]]*SensEdu[[#This Row],[Qty]]</f>
        <v>0.252</v>
      </c>
      <c r="H23" s="2" t="s">
        <v>127</v>
      </c>
      <c r="I23" t="s">
        <v>124</v>
      </c>
      <c r="J23" t="s">
        <v>126</v>
      </c>
    </row>
    <row r="24" spans="1:10" x14ac:dyDescent="0.25">
      <c r="A24" t="s">
        <v>54</v>
      </c>
      <c r="B24" t="s">
        <v>55</v>
      </c>
      <c r="C24" t="s">
        <v>39</v>
      </c>
      <c r="D24">
        <v>4</v>
      </c>
      <c r="E24" t="s">
        <v>8</v>
      </c>
      <c r="F24" s="1">
        <v>5.8000000000000003E-2</v>
      </c>
      <c r="G24" s="1">
        <f>SensEdu[[#This Row],[Price (per 10xQty)]]*SensEdu[[#This Row],[Qty]]</f>
        <v>0.23200000000000001</v>
      </c>
      <c r="H24" s="2" t="s">
        <v>128</v>
      </c>
      <c r="I24" t="s">
        <v>124</v>
      </c>
      <c r="J24" t="s">
        <v>129</v>
      </c>
    </row>
    <row r="25" spans="1:10" x14ac:dyDescent="0.25">
      <c r="A25" t="s">
        <v>155</v>
      </c>
      <c r="B25" t="s">
        <v>56</v>
      </c>
      <c r="C25" t="s">
        <v>57</v>
      </c>
      <c r="D25">
        <v>4</v>
      </c>
      <c r="E25" t="s">
        <v>8</v>
      </c>
      <c r="F25" s="1">
        <v>0.28699999999999998</v>
      </c>
      <c r="G25" s="1">
        <f>SensEdu[[#This Row],[Price (per 10xQty)]]*SensEdu[[#This Row],[Qty]]</f>
        <v>1.1479999999999999</v>
      </c>
      <c r="H25" s="2">
        <v>5000</v>
      </c>
      <c r="J25" t="s">
        <v>97</v>
      </c>
    </row>
    <row r="26" spans="1:10" x14ac:dyDescent="0.25">
      <c r="A26" t="s">
        <v>156</v>
      </c>
      <c r="B26" t="s">
        <v>58</v>
      </c>
      <c r="C26" t="s">
        <v>57</v>
      </c>
      <c r="D26">
        <v>2</v>
      </c>
      <c r="E26" t="s">
        <v>8</v>
      </c>
      <c r="F26" s="1">
        <v>0.19</v>
      </c>
      <c r="G26" s="1">
        <f>SensEdu[[#This Row],[Price (per 10xQty)]]*SensEdu[[#This Row],[Qty]]</f>
        <v>0.38</v>
      </c>
      <c r="H26" s="2">
        <v>5001</v>
      </c>
      <c r="J26" t="s">
        <v>98</v>
      </c>
    </row>
    <row r="27" spans="1:10" x14ac:dyDescent="0.25">
      <c r="A27" t="s">
        <v>59</v>
      </c>
      <c r="B27" t="s">
        <v>60</v>
      </c>
      <c r="C27" t="s">
        <v>61</v>
      </c>
      <c r="D27">
        <v>2</v>
      </c>
      <c r="E27" t="s">
        <v>8</v>
      </c>
      <c r="F27" s="1">
        <v>6.5</v>
      </c>
      <c r="G27" s="1">
        <f>SensEdu[[#This Row],[Price (per 10xQty)]]*SensEdu[[#This Row],[Qty]]</f>
        <v>13</v>
      </c>
      <c r="H27" s="2" t="s">
        <v>60</v>
      </c>
      <c r="J27" t="s">
        <v>96</v>
      </c>
    </row>
    <row r="28" spans="1:10" x14ac:dyDescent="0.25">
      <c r="A28" t="s">
        <v>62</v>
      </c>
      <c r="B28" t="s">
        <v>63</v>
      </c>
      <c r="C28" t="s">
        <v>64</v>
      </c>
      <c r="D28">
        <v>1</v>
      </c>
      <c r="E28" t="s">
        <v>8</v>
      </c>
      <c r="F28" s="1">
        <v>0.39</v>
      </c>
      <c r="G28" s="1">
        <f>SensEdu[[#This Row],[Price (per 10xQty)]]*SensEdu[[#This Row],[Qty]]</f>
        <v>0.39</v>
      </c>
      <c r="H28" s="2" t="s">
        <v>63</v>
      </c>
      <c r="J28" t="s">
        <v>95</v>
      </c>
    </row>
    <row r="29" spans="1:10" x14ac:dyDescent="0.25">
      <c r="A29" t="s">
        <v>65</v>
      </c>
      <c r="B29" t="s">
        <v>66</v>
      </c>
      <c r="C29" t="s">
        <v>67</v>
      </c>
      <c r="D29">
        <v>1</v>
      </c>
      <c r="E29" t="s">
        <v>8</v>
      </c>
      <c r="F29" s="1">
        <v>1.54</v>
      </c>
      <c r="G29" s="1">
        <f>SensEdu[[#This Row],[Price (per 10xQty)]]*SensEdu[[#This Row],[Qty]]</f>
        <v>1.54</v>
      </c>
      <c r="H29" s="2" t="s">
        <v>66</v>
      </c>
      <c r="J29" t="s">
        <v>94</v>
      </c>
    </row>
    <row r="30" spans="1:10" x14ac:dyDescent="0.25">
      <c r="A30" t="s">
        <v>68</v>
      </c>
      <c r="B30" t="s">
        <v>69</v>
      </c>
      <c r="C30" t="s">
        <v>70</v>
      </c>
      <c r="D30">
        <v>1</v>
      </c>
      <c r="E30" t="s">
        <v>8</v>
      </c>
      <c r="F30" s="1">
        <v>7.53</v>
      </c>
      <c r="G30" s="1">
        <f>SensEdu[[#This Row],[Price (per 10xQty)]]*SensEdu[[#This Row],[Qty]]</f>
        <v>7.53</v>
      </c>
      <c r="H30" s="2" t="s">
        <v>112</v>
      </c>
      <c r="J30" t="s">
        <v>93</v>
      </c>
    </row>
    <row r="31" spans="1:10" x14ac:dyDescent="0.25">
      <c r="A31" t="s">
        <v>71</v>
      </c>
      <c r="B31" t="s">
        <v>72</v>
      </c>
      <c r="C31" t="s">
        <v>73</v>
      </c>
      <c r="D31">
        <v>4</v>
      </c>
      <c r="E31" t="s">
        <v>8</v>
      </c>
      <c r="F31" s="1">
        <v>5.41</v>
      </c>
      <c r="G31" s="1">
        <f>SensEdu[[#This Row],[Price (per 10xQty)]]*SensEdu[[#This Row],[Qty]]</f>
        <v>21.64</v>
      </c>
      <c r="H31" s="2" t="s">
        <v>72</v>
      </c>
      <c r="J31" t="s">
        <v>92</v>
      </c>
    </row>
    <row r="32" spans="1:10" x14ac:dyDescent="0.25">
      <c r="A32" t="s">
        <v>74</v>
      </c>
      <c r="B32" t="s">
        <v>75</v>
      </c>
      <c r="C32" t="s">
        <v>76</v>
      </c>
      <c r="D32">
        <v>2</v>
      </c>
      <c r="E32" t="s">
        <v>8</v>
      </c>
      <c r="F32" s="1">
        <v>0.128</v>
      </c>
      <c r="G32" s="1">
        <f>SensEdu[[#This Row],[Price (per 10xQty)]]*SensEdu[[#This Row],[Qty]]</f>
        <v>0.25600000000000001</v>
      </c>
      <c r="H32" s="2" t="s">
        <v>75</v>
      </c>
      <c r="J32" t="s">
        <v>90</v>
      </c>
    </row>
    <row r="33" spans="1:10" x14ac:dyDescent="0.25">
      <c r="A33" t="s">
        <v>77</v>
      </c>
      <c r="B33" t="s">
        <v>78</v>
      </c>
      <c r="C33" t="s">
        <v>79</v>
      </c>
      <c r="D33">
        <v>1</v>
      </c>
      <c r="E33" t="s">
        <v>8</v>
      </c>
      <c r="F33" s="1">
        <v>2.27</v>
      </c>
      <c r="G33" s="1">
        <f>SensEdu[[#This Row],[Price (per 10xQty)]]*SensEdu[[#This Row],[Qty]]</f>
        <v>2.27</v>
      </c>
      <c r="H33" s="2" t="s">
        <v>78</v>
      </c>
      <c r="J33" t="s">
        <v>89</v>
      </c>
    </row>
    <row r="34" spans="1:10" x14ac:dyDescent="0.25">
      <c r="A34" t="s">
        <v>80</v>
      </c>
      <c r="B34" t="s">
        <v>81</v>
      </c>
      <c r="C34" t="s">
        <v>82</v>
      </c>
      <c r="D34">
        <v>1</v>
      </c>
      <c r="E34" t="s">
        <v>8</v>
      </c>
      <c r="F34" s="1">
        <v>2.4300000000000002</v>
      </c>
      <c r="G34" s="1">
        <f>SensEdu[[#This Row],[Price (per 10xQty)]]*SensEdu[[#This Row],[Qty]]</f>
        <v>2.4300000000000002</v>
      </c>
      <c r="H34" s="2" t="s">
        <v>81</v>
      </c>
      <c r="J34" t="s">
        <v>88</v>
      </c>
    </row>
    <row r="35" spans="1:10" x14ac:dyDescent="0.25">
      <c r="A35" t="s">
        <v>83</v>
      </c>
      <c r="B35" t="s">
        <v>84</v>
      </c>
      <c r="C35" t="s">
        <v>85</v>
      </c>
      <c r="D35">
        <v>1</v>
      </c>
      <c r="E35" t="s">
        <v>8</v>
      </c>
      <c r="F35" s="1">
        <v>0.76400000000000001</v>
      </c>
      <c r="G35" s="1">
        <f>SensEdu[[#This Row],[Price (per 10xQty)]]*SensEdu[[#This Row],[Qty]]</f>
        <v>0.76400000000000001</v>
      </c>
      <c r="H35" s="2" t="s">
        <v>84</v>
      </c>
      <c r="J35" t="s">
        <v>87</v>
      </c>
    </row>
    <row r="36" spans="1:10" x14ac:dyDescent="0.25">
      <c r="F36" s="1"/>
      <c r="G36" s="1">
        <f>SUM(G2:G35)</f>
        <v>76.556999999999988</v>
      </c>
      <c r="H36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327BA960-860B-4777-97FD-BB8B5B6EF3DB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Sorokin Vladyslav (PSS MMS ACS INNO IFC)</dc:creator>
  <cp:lastModifiedBy>Sorokin Vladyslav (PSS RFS DS FIM IFC)</cp:lastModifiedBy>
  <dcterms:created xsi:type="dcterms:W3CDTF">2026-02-25T17:04:32Z</dcterms:created>
  <dcterms:modified xsi:type="dcterms:W3CDTF">2026-02-26T15:29:01Z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2026-02-25 17:04:32Z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835d61f0-5141-46d3-b3f8-942862325bf6</vt:lpwstr>
  </property>
  <property fmtid="{D5CDD505-2E9C-101B-9397-08002B2CF9AE}" pid="8" name="MSIP_Label_a15a25aa-e944-415d-b7a7-40f6b9180b6b_ContentBits">
    <vt:lpwstr>0</vt:lpwstr>
  </property>
</Properties>
</file>